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ấm điểm" state="visible" r:id="rId4"/>
    <sheet sheetId="2" name="Hướng dẫn" state="visible" r:id="rId5"/>
  </sheets>
  <calcPr calcId="171027"/>
</workbook>
</file>

<file path=xl/sharedStrings.xml><?xml version="1.0" encoding="utf-8"?>
<sst xmlns="http://schemas.openxmlformats.org/spreadsheetml/2006/main" count="47" uniqueCount="45">
  <si>
    <t>BẢNG CHẤM ĐIỂM THANH KHOẢN BĐS — ĐƯỜNG THOÁT</t>
  </si>
  <si>
    <t>Chỉ điền các ô MÀU VÀNG. Điểm &amp; kết luận tự tính ở dưới. "Người ta dạy bạn MUA — đây giúp bạn biết miếng này có BÁN ĐƯỢC không."</t>
  </si>
  <si>
    <t>1) THÔNG TIN BẤT ĐỘNG SẢN</t>
  </si>
  <si>
    <t>Loại BĐS (đất nền / căn hộ / nhà phố)</t>
  </si>
  <si>
    <t>Khu vực</t>
  </si>
  <si>
    <t>Giá rao (triệu đồng)</t>
  </si>
  <si>
    <t>2) CHẤM 7 TIÊU CHÍ THANH KHOẢN (cho điểm 1 = rất kém … 5 = rất tốt)</t>
  </si>
  <si>
    <t>Tiêu chí</t>
  </si>
  <si>
    <t>Trọng số</t>
  </si>
  <si>
    <t>Bạn chấm (1-5)</t>
  </si>
  <si>
    <t>Điểm quy đổi</t>
  </si>
  <si>
    <t>Pháp lý sạch (sổ riêng, không quy hoạch/tranh chấp)</t>
  </si>
  <si>
    <t>Vị trí &amp; hạ tầng (dân cư hiện hữu, gần tiện ích)</t>
  </si>
  <si>
    <t>Tầm giá phổ thông (vừa túi số đông mua lại)</t>
  </si>
  <si>
    <t>Thanh khoản khu vực (giao dịch sôi động, có cầu thật)</t>
  </si>
  <si>
    <t>Dùng/khai thác được ngay (ở/cho thuê, không phải chờ)</t>
  </si>
  <si>
    <t>Giá trị thật, không phụ thuộc "sóng"/đầu cơ</t>
  </si>
  <si>
    <t>Pháp lý giao dịch dễ (công chứng/sang tên nhanh)</t>
  </si>
  <si>
    <t>ĐIỂM THANH KHOẢN (trên 100)  =</t>
  </si>
  <si>
    <t>Xếp loại</t>
  </si>
  <si>
    <t>Ước thời gian thoát hàng</t>
  </si>
  <si>
    <t>Khuyến nghị</t>
  </si>
  <si>
    <t>THANG ĐIỂM</t>
  </si>
  <si>
    <t>80 - 100</t>
  </si>
  <si>
    <t>Thanh khoản cao — bán lại dễ, đường ra rõ.</t>
  </si>
  <si>
    <t>60 - 79</t>
  </si>
  <si>
    <t>Khá — có cầu nhưng cần đúng giá/đúng thời điểm.</t>
  </si>
  <si>
    <t>40 - 59</t>
  </si>
  <si>
    <t>Trung bình — rủi ro kẹt hàng, cân nhắc rất kỹ.</t>
  </si>
  <si>
    <t>Dưới 40</t>
  </si>
  <si>
    <t>Thấp — nguy cơ chôn vốn cao, nên bỏ qua.</t>
  </si>
  <si>
    <t>Công cụ mang tính giáo dục/tham khảo, không phải tư vấn đầu tư hay thẩm định giá chính thức. © 2026 Đỗ Tấn Minh — Đường Thoát.</t>
  </si>
  <si>
    <t>CÁCH DÙNG BẢNG CHẤM ĐIỂM THANH KHOẢN</t>
  </si>
  <si>
    <t/>
  </si>
  <si>
    <t>1. Mở tab "Chấm điểm".</t>
  </si>
  <si>
    <t>2. Điền 3 ô vàng ở phần Thông tin (loại BĐS, khu vực, giá rao).</t>
  </si>
  <si>
    <t>3. Với mỗi tiêu chí trong 7 tiêu chí, cho điểm 1 đến 5 vào cột "Bạn chấm" (ô vàng):</t>
  </si>
  <si>
    <t xml:space="preserve">     1 = rất kém  •  2 = kém  •  3 = trung bình  •  4 = tốt  •  5 = rất tốt</t>
  </si>
  <si>
    <t>4. Xem ô "ĐIỂM THANH KHOẢN", "Xếp loại", "Ước thời gian thoát hàng" và "Khuyến nghị" tự hiện ra.</t>
  </si>
  <si>
    <t>NGUYÊN TẮC VÀNG</t>
  </si>
  <si>
    <t>• Tiền chết không phải vì mua đắt — mà vì khi cần bán, không ai mua lại.</t>
  </si>
  <si>
    <t>• Luôn hỏi "AI sẽ mua lại miếng này, trong bao lâu, ở giá nào?" TRƯỚC khi xuống tiền.</t>
  </si>
  <si>
    <t>• Điểm dưới 60 = đường ra hẹp. Chỉ mua nếu giá rất tốt và bạn chịu được giữ lâu.</t>
  </si>
  <si>
    <t>• Pháp lý là yếu tố giết thanh khoản số 1 — dùng kèm Checklist "7 cờ đỏ pháp lý".</t>
  </si>
  <si>
    <t>Tài liệu mang tính giáo dục/tham khảo. © 2026 Đỗ Tấn Minh — Đường Thoát.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</si>
</sst>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3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475569"/>
      <sz val="10"/>
      <name val="Calibri"/>
    </font>
    <font>
      <b/>
      <color rgb="FFFFFFFF"/>
      <sz val="12"/>
      <name val="Calibri"/>
    </font>
    <font>
      <b/>
      <sz val="11"/>
      <name val="Calibri"/>
    </font>
    <font>
      <sz val="11"/>
      <name val="Calibri"/>
    </font>
    <font>
      <b/>
      <color rgb="FFFFFFFF"/>
      <sz val="11"/>
      <name val="Calibri"/>
    </font>
    <font>
      <b/>
      <sz val="12"/>
      <name val="Calibri"/>
    </font>
    <font>
      <b/>
      <color rgb="FFFFFFFF"/>
      <sz val="14"/>
      <name val="Calibri"/>
    </font>
    <font>
      <b/>
      <color rgb="FF0F172A"/>
      <sz val="11"/>
      <name val="Calibri"/>
    </font>
    <font>
      <i/>
      <color rgb="FF64748B"/>
      <sz val="9"/>
      <name val="Calibri"/>
    </font>
    <font>
      <b/>
      <color rgb="FFFFFFFF"/>
      <sz val="13"/>
      <name val="Calibri"/>
    </font>
    <font>
      <color rgb="FF0F172A"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61FF"/>
      </patternFill>
    </fill>
    <fill>
      <patternFill patternType="solid">
        <fgColor rgb="FFEAF1FF"/>
      </patternFill>
    </fill>
    <fill>
      <patternFill patternType="solid">
        <fgColor rgb="FFF1F5F9"/>
      </patternFill>
    </fill>
    <fill>
      <patternFill patternType="solid">
        <fgColor rgb="FFFFF2CC"/>
      </patternFill>
    </fill>
    <fill>
      <patternFill patternType="solid">
        <fgColor rgb="FF334155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9" fontId="5" fillId="0" borderId="1" xfId="0" applyNumberFormat="1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right" vertical="center" wrapText="1"/>
    </xf>
    <xf numFmtId="164" fontId="8" fillId="2" borderId="0" xfId="0" applyNumberFormat="1" applyFont="1" applyFill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6" fillId="6" borderId="0" xfId="0" applyFont="1" applyFill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0" fillId="4" borderId="0" xfId="0" applyFont="1" applyFill="1" applyAlignment="1">
      <alignment horizontal="left" vertical="center" wrapText="1"/>
    </xf>
    <xf numFmtId="0" fontId="11" fillId="2" borderId="0" xfId="0" applyFont="1" applyFill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workbookViewId="0" showGridLines="0"/>
  </sheetViews>
  <sheetFormatPr defaultRowHeight="15" outlineLevelRow="0" outlineLevelCol="0" x14ac:dyDescent="55"/>
  <cols>
    <col min="1" max="1" width="42" customWidth="1"/>
    <col min="2" max="2" width="14" customWidth="1"/>
    <col min="3" max="4" width="16" customWidth="1"/>
    <col min="5" max="5" width="4" customWidth="1"/>
  </cols>
  <sheetData>
    <row r="1" ht="30" customHeight="1" spans="1:4" x14ac:dyDescent="0.25">
      <c r="A1" s="1" t="s">
        <v>0</v>
      </c>
      <c r="B1" s="1"/>
      <c r="C1" s="1"/>
      <c r="D1" s="1"/>
    </row>
    <row r="2" ht="28" customHeight="1" spans="1:4" x14ac:dyDescent="0.25">
      <c r="A2" s="2" t="s">
        <v>1</v>
      </c>
      <c r="B2" s="2"/>
      <c r="C2" s="2"/>
      <c r="D2" s="2"/>
    </row>
    <row r="4" spans="1:4" x14ac:dyDescent="0.25">
      <c r="A4" s="3" t="s">
        <v>2</v>
      </c>
      <c r="B4" s="3"/>
      <c r="C4" s="3"/>
      <c r="D4" s="3"/>
    </row>
    <row r="5" spans="1:4" x14ac:dyDescent="0.25">
      <c r="A5" s="4" t="s">
        <v>3</v>
      </c>
      <c r="B5" s="5"/>
      <c r="C5" s="5"/>
      <c r="D5" s="5"/>
    </row>
    <row r="6" spans="1:4" x14ac:dyDescent="0.25">
      <c r="A6" s="4" t="s">
        <v>4</v>
      </c>
      <c r="B6" s="5"/>
      <c r="C6" s="5"/>
      <c r="D6" s="5"/>
    </row>
    <row r="7" spans="1:4" x14ac:dyDescent="0.25">
      <c r="A7" s="4" t="s">
        <v>5</v>
      </c>
      <c r="B7" s="5"/>
      <c r="C7" s="5"/>
      <c r="D7" s="5"/>
    </row>
    <row r="9" spans="1:4" x14ac:dyDescent="0.25">
      <c r="A9" s="3" t="s">
        <v>6</v>
      </c>
      <c r="B9" s="3"/>
      <c r="C9" s="3"/>
      <c r="D9" s="3"/>
    </row>
    <row r="10" spans="1:4" x14ac:dyDescent="0.25">
      <c r="A10" s="6" t="s">
        <v>7</v>
      </c>
      <c r="B10" s="7" t="s">
        <v>8</v>
      </c>
      <c r="C10" s="7" t="s">
        <v>9</v>
      </c>
      <c r="D10" s="7" t="s">
        <v>10</v>
      </c>
    </row>
    <row r="11" spans="1:4" x14ac:dyDescent="0.25">
      <c r="A11" s="8" t="s">
        <v>11</v>
      </c>
      <c r="B11" s="9">
        <v>0.25</v>
      </c>
      <c r="C11" s="10"/>
      <c r="D11" s="11">
        <f>IF(C11="","",C11/5*B11*100)</f>
      </c>
    </row>
    <row r="12" spans="1:4" x14ac:dyDescent="0.25">
      <c r="A12" s="8" t="s">
        <v>12</v>
      </c>
      <c r="B12" s="9">
        <v>0.2</v>
      </c>
      <c r="C12" s="10"/>
      <c r="D12" s="11">
        <f>IF(C12="","",C12/5*B12*100)</f>
      </c>
    </row>
    <row r="13" spans="1:4" x14ac:dyDescent="0.25">
      <c r="A13" s="8" t="s">
        <v>13</v>
      </c>
      <c r="B13" s="9">
        <v>0.15</v>
      </c>
      <c r="C13" s="10"/>
      <c r="D13" s="11">
        <f>IF(C13="","",C13/5*B13*100)</f>
      </c>
    </row>
    <row r="14" spans="1:4" x14ac:dyDescent="0.25">
      <c r="A14" s="8" t="s">
        <v>14</v>
      </c>
      <c r="B14" s="9">
        <v>0.15</v>
      </c>
      <c r="C14" s="10"/>
      <c r="D14" s="11">
        <f>IF(C14="","",C14/5*B14*100)</f>
      </c>
    </row>
    <row r="15" spans="1:4" x14ac:dyDescent="0.25">
      <c r="A15" s="8" t="s">
        <v>15</v>
      </c>
      <c r="B15" s="9">
        <v>0.1</v>
      </c>
      <c r="C15" s="10"/>
      <c r="D15" s="11">
        <f>IF(C15="","",C15/5*B15*100)</f>
      </c>
    </row>
    <row r="16" spans="1:4" x14ac:dyDescent="0.25">
      <c r="A16" s="8" t="s">
        <v>16</v>
      </c>
      <c r="B16" s="9">
        <v>0.1</v>
      </c>
      <c r="C16" s="10"/>
      <c r="D16" s="11">
        <f>IF(C16="","",C16/5*B16*100)</f>
      </c>
    </row>
    <row r="17" spans="1:4" x14ac:dyDescent="0.25">
      <c r="A17" s="8" t="s">
        <v>17</v>
      </c>
      <c r="B17" s="9">
        <v>0.05</v>
      </c>
      <c r="C17" s="10"/>
      <c r="D17" s="11">
        <f>IF(C17="","",C17/5*B17*100)</f>
      </c>
    </row>
    <row r="18" ht="24" customHeight="1" spans="1:4" x14ac:dyDescent="0.25">
      <c r="A18" s="12" t="s">
        <v>18</v>
      </c>
      <c r="B18" s="12"/>
      <c r="C18" s="12"/>
      <c r="D18" s="13">
        <f>IF(COUNT(C11:C17)=0,"",SUM(D11:D17))</f>
      </c>
    </row>
    <row r="19" ht="22" customHeight="1" spans="1:4" x14ac:dyDescent="0.25">
      <c r="A19" s="4" t="s">
        <v>19</v>
      </c>
      <c r="B19" s="14">
        <f>IF(D18="","Chưa đủ dữ liệu",IF(D18&gt;=80,"Thanh khoản CAO — đường ra rõ ràng",IF(D18&gt;=60,"Thanh khoản KHÁ",IF(D18&gt;=40,"Thanh khoản TRUNG BÌNH — cân nhắc kỹ","Thanh khoản THẤP — nguy cơ chôn vốn, nên NÉ"))))</f>
      </c>
      <c r="C19" s="14"/>
      <c r="D19" s="14"/>
    </row>
    <row r="20" ht="22" customHeight="1" spans="1:4" x14ac:dyDescent="0.25">
      <c r="A20" s="4" t="s">
        <v>20</v>
      </c>
      <c r="B20" s="14">
        <f>IF(D18="","",IF(D18&gt;=80,"Dưới 6 tháng",IF(D18&gt;=60,"6 - 12 tháng",IF(D18&gt;=40,"1 - 2 năm","Trên 2 năm / khó bán"))))</f>
      </c>
      <c r="C20" s="14"/>
      <c r="D20" s="14"/>
    </row>
    <row r="21" ht="22" customHeight="1" spans="1:4" x14ac:dyDescent="0.25">
      <c r="A21" s="4" t="s">
        <v>21</v>
      </c>
      <c r="B21" s="14">
        <f>IF(D18="","",IF(D18&gt;=60,"Có đường ra — xem xét xuống tiền NẾU giá hợp lý &amp; pháp lý sạch","Đường ra hẹp — chỉ mua nếu được giá rất tốt và chấp nhận giữ lâu; nếu không -&gt; BỎ QUA"))</f>
      </c>
      <c r="C21" s="14"/>
      <c r="D21" s="14"/>
    </row>
    <row r="23" spans="1:4" x14ac:dyDescent="0.25">
      <c r="A23" s="15" t="s">
        <v>22</v>
      </c>
      <c r="B23" s="15"/>
      <c r="C23" s="15"/>
      <c r="D23" s="15"/>
    </row>
    <row r="24" spans="1:4" x14ac:dyDescent="0.25">
      <c r="A24" s="16" t="s">
        <v>23</v>
      </c>
      <c r="B24" s="8" t="s">
        <v>24</v>
      </c>
      <c r="C24" s="8"/>
      <c r="D24" s="8"/>
    </row>
    <row r="25" spans="1:4" x14ac:dyDescent="0.25">
      <c r="A25" s="16" t="s">
        <v>25</v>
      </c>
      <c r="B25" s="8" t="s">
        <v>26</v>
      </c>
      <c r="C25" s="8"/>
      <c r="D25" s="8"/>
    </row>
    <row r="26" spans="1:4" x14ac:dyDescent="0.25">
      <c r="A26" s="16" t="s">
        <v>27</v>
      </c>
      <c r="B26" s="8" t="s">
        <v>28</v>
      </c>
      <c r="C26" s="8"/>
      <c r="D26" s="8"/>
    </row>
    <row r="27" spans="1:4" x14ac:dyDescent="0.25">
      <c r="A27" s="16" t="s">
        <v>29</v>
      </c>
      <c r="B27" s="8" t="s">
        <v>30</v>
      </c>
      <c r="C27" s="8"/>
      <c r="D27" s="8"/>
    </row>
    <row r="29" ht="26" customHeight="1" spans="1:4" x14ac:dyDescent="0.25">
      <c r="A29" s="17" t="s">
        <v>31</v>
      </c>
      <c r="B29" s="17"/>
      <c r="C29" s="17"/>
      <c r="D29" s="17"/>
    </row>
  </sheetData>
  <mergeCells count="17">
    <mergeCell ref="A1:D1"/>
    <mergeCell ref="A2:D2"/>
    <mergeCell ref="A4:D4"/>
    <mergeCell ref="B5:D5"/>
    <mergeCell ref="B6:D6"/>
    <mergeCell ref="B7:D7"/>
    <mergeCell ref="A9:D9"/>
    <mergeCell ref="A18:C18"/>
    <mergeCell ref="B19:D19"/>
    <mergeCell ref="B20:D20"/>
    <mergeCell ref="B21:D21"/>
    <mergeCell ref="A23:D23"/>
    <mergeCell ref="B24:D24"/>
    <mergeCell ref="B25:D25"/>
    <mergeCell ref="B26:D26"/>
    <mergeCell ref="B27:D27"/>
    <mergeCell ref="A29:D29"/>
  </mergeCells>
  <dataValidations count="1">
    <dataValidation type="whole" allowBlank="1" showErrorMessage="1" errorTitle="Sai giá trị" error="Chỉ nhập số nguyên từ 1 đến 5" sqref="C11:C17">
      <formula1>1</formula1>
      <formula2>5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"/>
  <sheetViews>
    <sheetView workbookViewId="0" showGridLines="0"/>
  </sheetViews>
  <sheetFormatPr defaultRowHeight="15" outlineLevelRow="0" outlineLevelCol="0" x14ac:dyDescent="55"/>
  <cols>
    <col min="1" max="1" width="100" customWidth="1"/>
  </cols>
  <sheetData>
    <row r="1" ht="24" customHeight="1" spans="1:1" x14ac:dyDescent="0.25">
      <c r="A1" s="18" t="s">
        <v>32</v>
      </c>
    </row>
    <row r="2" spans="1:1" x14ac:dyDescent="0.25">
      <c r="A2" s="19" t="s">
        <v>33</v>
      </c>
    </row>
    <row r="3" spans="1:1" x14ac:dyDescent="0.25">
      <c r="A3" s="19" t="s">
        <v>34</v>
      </c>
    </row>
    <row r="4" spans="1:1" x14ac:dyDescent="0.25">
      <c r="A4" s="19" t="s">
        <v>35</v>
      </c>
    </row>
    <row r="5" spans="1:1" x14ac:dyDescent="0.25">
      <c r="A5" s="19" t="s">
        <v>36</v>
      </c>
    </row>
    <row r="6" spans="1:1" x14ac:dyDescent="0.25">
      <c r="A6" s="19" t="s">
        <v>37</v>
      </c>
    </row>
    <row r="7" spans="1:1" x14ac:dyDescent="0.25">
      <c r="A7" s="19" t="s">
        <v>38</v>
      </c>
    </row>
    <row r="8" spans="1:1" x14ac:dyDescent="0.25">
      <c r="A8" s="19" t="s">
        <v>33</v>
      </c>
    </row>
    <row r="9" ht="24" customHeight="1" spans="1:1" x14ac:dyDescent="0.25">
      <c r="A9" s="18" t="s">
        <v>39</v>
      </c>
    </row>
    <row r="10" spans="1:1" x14ac:dyDescent="0.25">
      <c r="A10" s="19" t="s">
        <v>40</v>
      </c>
    </row>
    <row r="11" spans="1:1" x14ac:dyDescent="0.25">
      <c r="A11" s="19" t="s">
        <v>41</v>
      </c>
    </row>
    <row r="12" spans="1:1" x14ac:dyDescent="0.25">
      <c r="A12" s="19" t="s">
        <v>42</v>
      </c>
    </row>
    <row r="13" spans="1:1" x14ac:dyDescent="0.25">
      <c r="A13" s="19" t="s">
        <v>43</v>
      </c>
    </row>
    <row r="14" spans="1:1" x14ac:dyDescent="0.25">
      <c r="A14" s="19" t="s">
        <v>33</v>
      </c>
    </row>
    <row r="15" spans="1:1" x14ac:dyDescent="0.25">
      <c r="A15" s="20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Chấm điểm</vt:lpstr>
      <vt:lpstr>Hướng dẫn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Đỗ Tấn Minh - Đường Thoát</dc:creator>
  <dc:title/>
  <dc:subject/>
  <dc:description/>
  <cp:keywords/>
  <cp:category/>
  <cp:lastModifiedBy>Unknown</cp:lastModifiedBy>
  <dcterms:created xsi:type="dcterms:W3CDTF">2026-06-30T17:47:00Z</dcterms:created>
  <dcterms:modified xsi:type="dcterms:W3CDTF">2026-06-30T17:47:00Z</dcterms:modified>
</cp:coreProperties>
</file>